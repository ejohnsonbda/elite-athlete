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Events" sheetId="2" r:id="rId5"/>
  </sheets>
  <definedNames/>
  <calcPr/>
  <extLst>
    <ext uri="GoogleSheetsCustomDataVersion2">
      <go:sheetsCustomData xmlns:go="http://customooxmlschemas.google.com/" r:id="rId6" roundtripDataChecksum="KYvmHytVKGUsOzk8rxoz2YZUR5HWnTcbuXIKnPXteww="/>
    </ext>
  </extLst>
</workbook>
</file>

<file path=xl/sharedStrings.xml><?xml version="1.0" encoding="utf-8"?>
<sst xmlns="http://schemas.openxmlformats.org/spreadsheetml/2006/main" count="81" uniqueCount="70">
  <si>
    <t>The Bermuda Olympic Association</t>
  </si>
  <si>
    <t xml:space="preserve">                                2026 ELITE ATHLETE BUDGET </t>
  </si>
  <si>
    <t>NSGB</t>
  </si>
  <si>
    <t>BOA</t>
  </si>
  <si>
    <t>ATHLETE'S NAME</t>
  </si>
  <si>
    <t>Caitlyn Bobb</t>
  </si>
  <si>
    <t>D.O.B.</t>
  </si>
  <si>
    <t>EMAIL &amp; PHONE #</t>
  </si>
  <si>
    <t>caitlynbobb03@gmail.com  /  667-576-1048</t>
  </si>
  <si>
    <t>ATHLETE BUDGET FOR 2026</t>
  </si>
  <si>
    <t>1.Camp  Preparation</t>
  </si>
  <si>
    <t xml:space="preserve">Description </t>
  </si>
  <si>
    <t>Airfare</t>
  </si>
  <si>
    <t>Camp: Section 1 TBD, Section 2 TBD, Section 3 TBD:</t>
  </si>
  <si>
    <t xml:space="preserve">Accommodation </t>
  </si>
  <si>
    <t>2 weeks/per camp - AirBNB:   $100/per night  *  2 weeks   *  3 sections</t>
  </si>
  <si>
    <t>Car rental or taxi if needed</t>
  </si>
  <si>
    <t>Car rental:   $302.41/per rental session  *   2 weeks   *   3 sections</t>
  </si>
  <si>
    <t xml:space="preserve">Per diem </t>
  </si>
  <si>
    <t>Number of days of camp @ $45/day  *  2 weeks  *  3 sections</t>
  </si>
  <si>
    <t xml:space="preserve">2.Coaching &amp; Sport Psych Fees </t>
  </si>
  <si>
    <t>Coach's name &amp; rate</t>
  </si>
  <si>
    <t>Lynn Smith:     $150/per month  *  12 months</t>
  </si>
  <si>
    <t>Sport Psychologist name &amp; rate</t>
  </si>
  <si>
    <t>Shana Jones:  $150/per session  * 2 sessions per month   *   12 months</t>
  </si>
  <si>
    <t xml:space="preserve">3.Strength Coach, Massage  Preparation </t>
  </si>
  <si>
    <t>Gym/Fitness Center Name</t>
  </si>
  <si>
    <t xml:space="preserve">OneLife Fitness:      $63/per month   *   12 months </t>
  </si>
  <si>
    <t>Massage</t>
  </si>
  <si>
    <t>Deep tissue sports massage:        $150/per massage  *  3x a month  *  12 months</t>
  </si>
  <si>
    <t>Weights Coach</t>
  </si>
  <si>
    <t xml:space="preserve">Greg Jack:      $100/per month   </t>
  </si>
  <si>
    <t xml:space="preserve">4.Equipment for  Preparation  </t>
  </si>
  <si>
    <t xml:space="preserve">Clothing </t>
  </si>
  <si>
    <t>Sports hijabs:     $30/per hijab   *   4x a year
Compression Shirts / Tights:     $70/per set  *  1 set every other month
Lifting straps:     $30</t>
  </si>
  <si>
    <t>Footwear</t>
  </si>
  <si>
    <t>Running shoes:     $240/per shoe   *   2x a year 
Spikes:      $200/per shoe   *   2x a year</t>
  </si>
  <si>
    <t>Rehab / Prehab</t>
  </si>
  <si>
    <t>Large Resistance Bands:     $30/per set   *   1x a year 
Small Resistance Bands:       $10/per set    *    1x a year
Muscle Stimulater Machine:      $70/per machine    *   1x a year
Venom Hyperice 2:       $230/per machine     *    1x a year
Percussion Massage Gun:      $50/per machine     *    1x year
Scraping Kit:      $45/per kit    *   1x a year
Atomic Balm:     $25/per bottle    *   2x a year
Cupping Set:      $35/per kit    *    1x a year</t>
  </si>
  <si>
    <t>5. Sports Medicine &amp; Nutrition (Nutritional Supplements only)</t>
  </si>
  <si>
    <t>Nutrition needs</t>
  </si>
  <si>
    <r>
      <rPr>
        <rFont val="Calibri"/>
        <color rgb="FF000000"/>
        <sz val="12.0"/>
      </rPr>
      <t>Dr. Morses (Superfood &amp; Muscle by Nature):   $70/per bottle  *  2 bottles per month   *   12 months 
Whey Protein: $30/per bottle   *   12 months 
Pedialyte: $8/per bottle   *   2 bottles per week    *   12 m</t>
    </r>
    <r>
      <rPr>
        <rFont val="Calibri"/>
        <color rgb="FF002060"/>
        <sz val="12.0"/>
      </rPr>
      <t xml:space="preserve">onths </t>
    </r>
  </si>
  <si>
    <t>Physiotherapy</t>
  </si>
  <si>
    <t xml:space="preserve">Physio Performance:    $20/per visit  *   2x a week   *  12 months </t>
  </si>
  <si>
    <t>TOTAL 2026 BUDGET</t>
  </si>
  <si>
    <t>2026 Competition Events (must be approved by your NSGB)</t>
  </si>
  <si>
    <t>Date</t>
  </si>
  <si>
    <t>Name of Competition</t>
  </si>
  <si>
    <t>Location</t>
  </si>
  <si>
    <t>Purpose (Points, Rankings, Qualification)</t>
  </si>
  <si>
    <t>Jan 31- Feb 1, 2026</t>
  </si>
  <si>
    <t>Millrose Games</t>
  </si>
  <si>
    <t>New York, USA</t>
  </si>
  <si>
    <t>Points, Rankings, Qualification</t>
  </si>
  <si>
    <t>Mar 20-22, 2026</t>
  </si>
  <si>
    <t>World Athletics Indoor Championships</t>
  </si>
  <si>
    <t>Torun, Poland</t>
  </si>
  <si>
    <t>Points</t>
  </si>
  <si>
    <t>TBD</t>
  </si>
  <si>
    <t>Bermuda National Championships</t>
  </si>
  <si>
    <t>Hamilton, Bermuda</t>
  </si>
  <si>
    <t>Canadian Circuit Tour</t>
  </si>
  <si>
    <t>Canada</t>
  </si>
  <si>
    <t>July 23 - Aug 2, 2026</t>
  </si>
  <si>
    <t>Commonwealth Games</t>
  </si>
  <si>
    <t>Glasgow, Scotland</t>
  </si>
  <si>
    <t>Rankings</t>
  </si>
  <si>
    <t xml:space="preserve">NSGB Approval: </t>
  </si>
  <si>
    <t>Name</t>
  </si>
  <si>
    <t>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</si>
</sst>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_(&quot;$&quot;* #,##0.00_);_(&quot;$&quot;* \(#,##0.00\);_(&quot;$&quot;* &quot;-&quot;??_);_(@_)"/>
  </numFmts>
  <fonts count="1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u/>
      <sz val="12.0"/>
      <color theme="1"/>
      <name val="Calibri"/>
    </font>
    <font>
      <sz val="12.0"/>
      <color rgb="FF0070C0"/>
      <name val="Calibri"/>
    </font>
    <font>
      <sz val="12.0"/>
      <color rgb="FF002060"/>
      <name val="Calibri"/>
    </font>
    <font>
      <sz val="11.0"/>
      <color rgb="FFFF0000"/>
      <name val="Calibri"/>
    </font>
    <font>
      <sz val="12.0"/>
      <color rgb="FF000000"/>
      <name val="Calibri"/>
    </font>
    <font>
      <sz val="12.0"/>
      <color rgb="FFFF0000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CCFF"/>
        <bgColor rgb="FFFFCCFF"/>
      </patternFill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</fills>
  <borders count="17">
    <border/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3" fillId="2" fontId="3" numFmtId="0" xfId="0" applyBorder="1" applyFont="1"/>
    <xf borderId="0" fillId="0" fontId="2" numFmtId="0" xfId="0" applyFont="1"/>
    <xf borderId="4" fillId="3" fontId="4" numFmtId="0" xfId="0" applyBorder="1" applyFill="1" applyFont="1"/>
    <xf borderId="5" fillId="0" fontId="5" numFmtId="0" xfId="0" applyBorder="1" applyFont="1"/>
    <xf borderId="6" fillId="0" fontId="5" numFmtId="0" xfId="0" applyAlignment="1" applyBorder="1" applyFont="1">
      <alignment readingOrder="0"/>
    </xf>
    <xf borderId="7" fillId="0" fontId="5" numFmtId="0" xfId="0" applyBorder="1" applyFont="1"/>
    <xf borderId="6" fillId="0" fontId="4" numFmtId="0" xfId="0" applyAlignment="1" applyBorder="1" applyFont="1">
      <alignment readingOrder="0"/>
    </xf>
    <xf borderId="7" fillId="0" fontId="2" numFmtId="0" xfId="0" applyBorder="1" applyFont="1"/>
    <xf borderId="6" fillId="0" fontId="2" numFmtId="164" xfId="0" applyAlignment="1" applyBorder="1" applyFont="1" applyNumberFormat="1">
      <alignment readingOrder="0"/>
    </xf>
    <xf borderId="6" fillId="0" fontId="2" numFmtId="0" xfId="0" applyAlignment="1" applyBorder="1" applyFont="1">
      <alignment readingOrder="0"/>
    </xf>
    <xf borderId="8" fillId="0" fontId="2" numFmtId="0" xfId="0" applyBorder="1" applyFont="1"/>
    <xf borderId="9" fillId="4" fontId="4" numFmtId="0" xfId="0" applyBorder="1" applyFill="1" applyFont="1"/>
    <xf borderId="10" fillId="4" fontId="2" numFmtId="0" xfId="0" applyBorder="1" applyFont="1"/>
    <xf borderId="11" fillId="4" fontId="2" numFmtId="0" xfId="0" applyBorder="1" applyFont="1"/>
    <xf borderId="12" fillId="0" fontId="6" numFmtId="0" xfId="0" applyBorder="1" applyFont="1"/>
    <xf borderId="0" fillId="0" fontId="5" numFmtId="0" xfId="0" applyFont="1"/>
    <xf borderId="13" fillId="0" fontId="7" numFmtId="0" xfId="0" applyBorder="1" applyFont="1"/>
    <xf borderId="12" fillId="0" fontId="5" numFmtId="0" xfId="0" applyBorder="1" applyFont="1"/>
    <xf borderId="0" fillId="0" fontId="5" numFmtId="165" xfId="0" applyFont="1" applyNumberFormat="1"/>
    <xf borderId="13" fillId="0" fontId="5" numFmtId="0" xfId="0" applyAlignment="1" applyBorder="1" applyFont="1">
      <alignment readingOrder="0"/>
    </xf>
    <xf borderId="0" fillId="0" fontId="5" numFmtId="165" xfId="0" applyAlignment="1" applyFont="1" applyNumberFormat="1">
      <alignment readingOrder="0"/>
    </xf>
    <xf borderId="13" fillId="0" fontId="5" numFmtId="0" xfId="0" applyAlignment="1" applyBorder="1" applyFont="1">
      <alignment readingOrder="0" shrinkToFit="0" wrapText="1"/>
    </xf>
    <xf borderId="14" fillId="0" fontId="5" numFmtId="165" xfId="0" applyBorder="1" applyFont="1" applyNumberFormat="1"/>
    <xf borderId="13" fillId="0" fontId="5" numFmtId="0" xfId="0" applyAlignment="1" applyBorder="1" applyFont="1">
      <alignment shrinkToFit="0" wrapText="1"/>
    </xf>
    <xf borderId="12" fillId="0" fontId="8" numFmtId="0" xfId="0" applyBorder="1" applyFont="1"/>
    <xf borderId="12" fillId="0" fontId="5" numFmtId="0" xfId="0" applyAlignment="1" applyBorder="1" applyFont="1">
      <alignment readingOrder="0"/>
    </xf>
    <xf borderId="0" fillId="0" fontId="4" numFmtId="165" xfId="0" applyFont="1" applyNumberFormat="1"/>
    <xf borderId="13" fillId="0" fontId="4" numFmtId="0" xfId="0" applyAlignment="1" applyBorder="1" applyFont="1">
      <alignment shrinkToFit="0" wrapText="1"/>
    </xf>
    <xf borderId="12" fillId="0" fontId="5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12" fillId="0" fontId="5" numFmtId="0" xfId="0" applyAlignment="1" applyBorder="1" applyFont="1">
      <alignment shrinkToFit="0" wrapText="1"/>
    </xf>
    <xf borderId="13" fillId="0" fontId="9" numFmtId="0" xfId="0" applyAlignment="1" applyBorder="1" applyFont="1">
      <alignment shrinkToFit="0" wrapText="1"/>
    </xf>
    <xf borderId="13" fillId="0" fontId="10" numFmtId="0" xfId="0" applyAlignment="1" applyBorder="1" applyFont="1">
      <alignment readingOrder="0" shrinkToFit="0" wrapText="1"/>
    </xf>
    <xf borderId="0" fillId="0" fontId="11" numFmtId="0" xfId="0" applyFont="1"/>
    <xf borderId="13" fillId="0" fontId="12" numFmtId="0" xfId="0" applyAlignment="1" applyBorder="1" applyFont="1">
      <alignment readingOrder="0"/>
    </xf>
    <xf borderId="12" fillId="0" fontId="13" numFmtId="0" xfId="0" applyBorder="1" applyFont="1"/>
    <xf borderId="0" fillId="0" fontId="13" numFmtId="165" xfId="0" applyFont="1" applyNumberFormat="1"/>
    <xf borderId="13" fillId="0" fontId="13" numFmtId="0" xfId="0" applyBorder="1" applyFont="1"/>
    <xf borderId="13" fillId="0" fontId="5" numFmtId="0" xfId="0" applyBorder="1" applyFont="1"/>
    <xf borderId="12" fillId="0" fontId="4" numFmtId="0" xfId="0" applyAlignment="1" applyBorder="1" applyFont="1">
      <alignment horizontal="right"/>
    </xf>
    <xf borderId="15" fillId="0" fontId="5" numFmtId="165" xfId="0" applyBorder="1" applyFont="1" applyNumberFormat="1"/>
    <xf borderId="5" fillId="0" fontId="2" numFmtId="0" xfId="0" applyBorder="1" applyFont="1"/>
    <xf borderId="16" fillId="0" fontId="2" numFmtId="0" xfId="0" applyBorder="1" applyFont="1"/>
    <xf borderId="0" fillId="0" fontId="1" numFmtId="0" xfId="0" applyFont="1"/>
    <xf borderId="4" fillId="5" fontId="1" numFmtId="0" xfId="0" applyBorder="1" applyFill="1" applyFont="1"/>
    <xf borderId="4" fillId="5" fontId="1" numFmtId="0" xfId="0" applyAlignment="1" applyBorder="1" applyFont="1">
      <alignment shrinkToFit="0" wrapText="1"/>
    </xf>
    <xf borderId="4" fillId="0" fontId="2" numFmtId="0" xfId="0" applyAlignment="1" applyBorder="1" applyFont="1">
      <alignment readingOrder="0" shrinkToFit="0" wrapText="1"/>
    </xf>
    <xf borderId="0" fillId="0" fontId="14" numFmtId="0" xfId="0" applyAlignment="1" applyFont="1">
      <alignment readingOrder="0"/>
    </xf>
    <xf borderId="4" fillId="0" fontId="2" numFmtId="0" xfId="0" applyAlignment="1" applyBorder="1" applyFont="1">
      <alignment shrinkToFit="0" wrapText="1"/>
    </xf>
    <xf borderId="4" fillId="0" fontId="2" numFmtId="0" xfId="0" applyBorder="1" applyFont="1"/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800100</xdr:colOff>
      <xdr:row>0</xdr:row>
      <xdr:rowOff>57150</xdr:rowOff>
    </xdr:from>
    <xdr:ext cx="400050" cy="676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14.86"/>
    <col customWidth="1" min="3" max="3" width="88.14"/>
    <col customWidth="1" min="4" max="26" width="9.14"/>
  </cols>
  <sheetData>
    <row r="1" ht="74.2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 t="s">
        <v>2</v>
      </c>
      <c r="B2" s="6"/>
      <c r="C2" s="7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5" t="s">
        <v>4</v>
      </c>
      <c r="B3" s="8"/>
      <c r="C3" s="9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" t="s">
        <v>6</v>
      </c>
      <c r="B4" s="10"/>
      <c r="C4" s="11">
        <v>37734.0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7.25" customHeight="1">
      <c r="A5" s="5" t="s">
        <v>7</v>
      </c>
      <c r="B5" s="10"/>
      <c r="C5" s="12" t="s">
        <v>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5" t="s">
        <v>9</v>
      </c>
      <c r="B6" s="10"/>
      <c r="C6" s="1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14"/>
      <c r="B7" s="15"/>
      <c r="C7" s="16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9.5" customHeight="1">
      <c r="A8" s="17" t="s">
        <v>10</v>
      </c>
      <c r="B8" s="18"/>
      <c r="C8" s="19" t="s">
        <v>11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20" t="s">
        <v>12</v>
      </c>
      <c r="B9" s="21"/>
      <c r="C9" s="22" t="s">
        <v>13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0" t="s">
        <v>14</v>
      </c>
      <c r="B10" s="23">
        <v>8400.0</v>
      </c>
      <c r="C10" s="22" t="s">
        <v>15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0" t="s">
        <v>16</v>
      </c>
      <c r="B11" s="23">
        <v>1814.46</v>
      </c>
      <c r="C11" s="22" t="s">
        <v>17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0" t="s">
        <v>18</v>
      </c>
      <c r="B12" s="23">
        <v>270.0</v>
      </c>
      <c r="C12" s="24" t="s">
        <v>19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0"/>
      <c r="B13" s="25">
        <f>SUM(B9:B12)</f>
        <v>10484.46</v>
      </c>
      <c r="C13" s="26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7" t="s">
        <v>20</v>
      </c>
      <c r="B14" s="21"/>
      <c r="C14" s="26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0" t="s">
        <v>21</v>
      </c>
      <c r="B15" s="23">
        <v>1800.0</v>
      </c>
      <c r="C15" s="24" t="s">
        <v>22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20" t="s">
        <v>23</v>
      </c>
      <c r="B16" s="23">
        <v>3600.0</v>
      </c>
      <c r="C16" s="24" t="s">
        <v>24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7"/>
      <c r="B17" s="25">
        <f>+B15+B16</f>
        <v>5400</v>
      </c>
      <c r="C17" s="26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7" t="s">
        <v>25</v>
      </c>
      <c r="B18" s="21"/>
      <c r="C18" s="26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0" t="s">
        <v>26</v>
      </c>
      <c r="B19" s="23">
        <v>756.0</v>
      </c>
      <c r="C19" s="24" t="s">
        <v>27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0" t="s">
        <v>28</v>
      </c>
      <c r="B20" s="23">
        <v>5400.0</v>
      </c>
      <c r="C20" s="24" t="s">
        <v>29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8" t="s">
        <v>30</v>
      </c>
      <c r="B21" s="23">
        <v>1200.0</v>
      </c>
      <c r="C21" s="24" t="s">
        <v>31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0"/>
      <c r="B22" s="25">
        <f>+B19+B20</f>
        <v>6156</v>
      </c>
      <c r="C22" s="26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0"/>
      <c r="B23" s="21"/>
      <c r="C23" s="26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7" t="s">
        <v>32</v>
      </c>
      <c r="B24" s="29"/>
      <c r="C24" s="30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31" t="s">
        <v>33</v>
      </c>
      <c r="B25" s="23">
        <v>570.0</v>
      </c>
      <c r="C25" s="24" t="s">
        <v>34</v>
      </c>
      <c r="D25" s="4"/>
      <c r="E25" s="3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31" t="s">
        <v>35</v>
      </c>
      <c r="B26" s="23">
        <v>880.0</v>
      </c>
      <c r="C26" s="24" t="s">
        <v>36</v>
      </c>
      <c r="D26" s="32"/>
      <c r="E26" s="3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31" t="s">
        <v>37</v>
      </c>
      <c r="B27" s="23">
        <v>520.0</v>
      </c>
      <c r="C27" s="24" t="s">
        <v>38</v>
      </c>
      <c r="D27" s="32"/>
      <c r="E27" s="32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33"/>
      <c r="B28" s="21"/>
      <c r="C28" s="34"/>
      <c r="D28" s="4"/>
      <c r="E28" s="3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33"/>
      <c r="B29" s="25">
        <f>SUM(B25:B27)</f>
        <v>1970</v>
      </c>
      <c r="C29" s="3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17" t="s">
        <v>39</v>
      </c>
      <c r="B30" s="21"/>
      <c r="C30" s="3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0" t="s">
        <v>40</v>
      </c>
      <c r="B31" s="23">
        <v>2232.0</v>
      </c>
      <c r="C31" s="35" t="s">
        <v>41</v>
      </c>
      <c r="D31" s="36"/>
      <c r="E31" s="32"/>
      <c r="F31" s="3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0" t="s">
        <v>42</v>
      </c>
      <c r="B32" s="23">
        <v>480.0</v>
      </c>
      <c r="C32" s="37" t="s">
        <v>43</v>
      </c>
      <c r="D32" s="4"/>
      <c r="E32" s="32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38"/>
      <c r="B33" s="39"/>
      <c r="C33" s="40"/>
      <c r="D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0"/>
      <c r="B34" s="25">
        <f>SUM(B31:B32)</f>
        <v>2712</v>
      </c>
      <c r="C34" s="4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0"/>
      <c r="B35" s="21"/>
      <c r="C35" s="4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2" t="s">
        <v>44</v>
      </c>
      <c r="B36" s="43">
        <f>SUM(B34,B29,B22,B17,B13)</f>
        <v>26722.46</v>
      </c>
      <c r="C36" s="4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4"/>
      <c r="B37" s="45"/>
      <c r="C37" s="1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4.2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4.2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printOptions/>
  <pageMargins bottom="0.5" footer="0.0" header="0.0" left="0.2" right="0.2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34.57"/>
    <col customWidth="1" min="3" max="3" width="25.57"/>
    <col customWidth="1" min="4" max="4" width="37.57"/>
    <col customWidth="1" min="5" max="26" width="8.71"/>
  </cols>
  <sheetData>
    <row r="1" ht="14.25" customHeight="1">
      <c r="A1" s="46" t="s">
        <v>45</v>
      </c>
    </row>
    <row r="2" ht="14.25" customHeight="1"/>
    <row r="3" ht="24.75" customHeight="1">
      <c r="A3" s="47" t="s">
        <v>46</v>
      </c>
      <c r="B3" s="47" t="s">
        <v>47</v>
      </c>
      <c r="C3" s="47" t="s">
        <v>48</v>
      </c>
      <c r="D3" s="48" t="s">
        <v>49</v>
      </c>
    </row>
    <row r="4" ht="24.75" customHeight="1">
      <c r="A4" s="49" t="s">
        <v>50</v>
      </c>
      <c r="B4" s="49" t="s">
        <v>51</v>
      </c>
      <c r="C4" s="49" t="s">
        <v>52</v>
      </c>
      <c r="D4" s="49" t="s">
        <v>53</v>
      </c>
    </row>
    <row r="5" ht="24.75" customHeight="1">
      <c r="A5" s="49" t="s">
        <v>54</v>
      </c>
      <c r="B5" s="49" t="s">
        <v>55</v>
      </c>
      <c r="C5" s="49" t="s">
        <v>56</v>
      </c>
      <c r="D5" s="50" t="s">
        <v>57</v>
      </c>
    </row>
    <row r="6" ht="24.75" customHeight="1">
      <c r="A6" s="49" t="s">
        <v>58</v>
      </c>
      <c r="B6" s="49" t="s">
        <v>59</v>
      </c>
      <c r="C6" s="49" t="s">
        <v>60</v>
      </c>
      <c r="D6" s="49" t="s">
        <v>57</v>
      </c>
    </row>
    <row r="7" ht="24.75" customHeight="1">
      <c r="A7" s="49" t="s">
        <v>58</v>
      </c>
      <c r="B7" s="49" t="s">
        <v>61</v>
      </c>
      <c r="C7" s="49" t="s">
        <v>62</v>
      </c>
      <c r="D7" s="51"/>
    </row>
    <row r="8" ht="24.75" customHeight="1">
      <c r="A8" s="49" t="s">
        <v>63</v>
      </c>
      <c r="B8" s="49" t="s">
        <v>64</v>
      </c>
      <c r="C8" s="49" t="s">
        <v>65</v>
      </c>
      <c r="D8" s="49" t="s">
        <v>66</v>
      </c>
    </row>
    <row r="9" ht="24.75" customHeight="1">
      <c r="A9" s="49" t="s">
        <v>58</v>
      </c>
      <c r="B9" s="51"/>
      <c r="C9" s="51"/>
      <c r="D9" s="51"/>
    </row>
    <row r="10" ht="24.75" customHeight="1">
      <c r="A10" s="49" t="s">
        <v>58</v>
      </c>
      <c r="B10" s="51"/>
      <c r="C10" s="51"/>
      <c r="D10" s="51"/>
    </row>
    <row r="11" ht="24.75" customHeight="1">
      <c r="A11" s="49" t="s">
        <v>58</v>
      </c>
      <c r="B11" s="51"/>
      <c r="C11" s="51"/>
      <c r="D11" s="51"/>
    </row>
    <row r="12" ht="24.75" customHeight="1">
      <c r="A12" s="49" t="s">
        <v>58</v>
      </c>
      <c r="B12" s="51"/>
      <c r="C12" s="51"/>
      <c r="D12" s="51"/>
    </row>
    <row r="13" ht="24.75" customHeight="1">
      <c r="A13" s="49" t="s">
        <v>58</v>
      </c>
      <c r="B13" s="51"/>
      <c r="C13" s="51"/>
      <c r="D13" s="51"/>
    </row>
    <row r="14" ht="24.75" customHeight="1">
      <c r="A14" s="49" t="s">
        <v>58</v>
      </c>
      <c r="B14" s="51"/>
      <c r="C14" s="51"/>
      <c r="D14" s="51"/>
    </row>
    <row r="15" ht="24.75" customHeight="1">
      <c r="A15" s="49" t="s">
        <v>58</v>
      </c>
      <c r="B15" s="51"/>
      <c r="C15" s="51"/>
      <c r="D15" s="51"/>
    </row>
    <row r="16" ht="24.75" customHeight="1">
      <c r="A16" s="49" t="s">
        <v>58</v>
      </c>
      <c r="B16" s="51"/>
      <c r="C16" s="51"/>
      <c r="D16" s="52"/>
    </row>
    <row r="17" ht="24.75" customHeight="1">
      <c r="A17" s="52"/>
      <c r="B17" s="52"/>
      <c r="C17" s="52"/>
      <c r="D17" s="52"/>
    </row>
    <row r="18" ht="24.75" customHeight="1">
      <c r="A18" s="52"/>
      <c r="B18" s="52"/>
      <c r="C18" s="52"/>
      <c r="D18" s="52"/>
    </row>
    <row r="19" ht="24.75" customHeight="1">
      <c r="A19" s="52"/>
      <c r="B19" s="52"/>
      <c r="C19" s="52"/>
      <c r="D19" s="52"/>
    </row>
    <row r="20" ht="24.75" customHeight="1">
      <c r="A20" s="52"/>
      <c r="B20" s="52"/>
      <c r="C20" s="52"/>
      <c r="D20" s="52"/>
    </row>
    <row r="21" ht="14.25" customHeight="1"/>
    <row r="22" ht="14.25" customHeight="1">
      <c r="A22" s="53" t="s">
        <v>67</v>
      </c>
      <c r="B22" s="45"/>
      <c r="C22" s="45"/>
      <c r="D22" s="45"/>
    </row>
    <row r="23" ht="14.25" customHeight="1">
      <c r="B23" s="53" t="s">
        <v>68</v>
      </c>
      <c r="C23" s="53" t="s">
        <v>69</v>
      </c>
      <c r="D23" s="53" t="s">
        <v>46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2017-07-14T20:59:55Z</dcterms:created>
  <dc:creator>ARH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0x010100249498BE37E07E4BB3660146F1287032</vt:lpwstr>
  </property>
  <property fmtid="{D5CDD505-2E9C-101B-9397-08002B2CF9AE}" pid="3" name="MediaServiceImageTags">
    <vt:lpwstr/>
  </property>
</Properties>
</file>