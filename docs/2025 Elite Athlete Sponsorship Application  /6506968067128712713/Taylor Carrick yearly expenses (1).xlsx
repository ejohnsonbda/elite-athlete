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5uXMS3vzyYpcWlC3CYDQd+3nyDys1aVELHVYPISQfk="/>
    </ext>
  </extLst>
</workbook>
</file>

<file path=xl/sharedStrings.xml><?xml version="1.0" encoding="utf-8"?>
<sst xmlns="http://schemas.openxmlformats.org/spreadsheetml/2006/main" count="30" uniqueCount="24">
  <si>
    <t>General Expenses</t>
  </si>
  <si>
    <t>Expense</t>
  </si>
  <si>
    <t>Cost per Month (CAD)</t>
  </si>
  <si>
    <t>Total Cost per Year (CAD)</t>
  </si>
  <si>
    <t>Cost per Month (USD)</t>
  </si>
  <si>
    <t>Total Cost per Year (USD)</t>
  </si>
  <si>
    <t>Rent</t>
  </si>
  <si>
    <t>Food</t>
  </si>
  <si>
    <t>Electricity</t>
  </si>
  <si>
    <t>Phone</t>
  </si>
  <si>
    <t>Wifi</t>
  </si>
  <si>
    <t>Apartment Insurance</t>
  </si>
  <si>
    <t>Miscellaneous</t>
  </si>
  <si>
    <t>Total</t>
  </si>
  <si>
    <t xml:space="preserve">Squash Expenses </t>
  </si>
  <si>
    <t>On-Court Coaching</t>
  </si>
  <si>
    <t>Strength Coaching</t>
  </si>
  <si>
    <t>Racket Restringing</t>
  </si>
  <si>
    <t>PSA Tournament Travel</t>
  </si>
  <si>
    <t>International Tournament Travel</t>
  </si>
  <si>
    <t>Shoes (Yearly)</t>
  </si>
  <si>
    <t>Sports Psychotherapy</t>
  </si>
  <si>
    <t>PSA Membership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</si>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</sst>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164" xfId="0" applyBorder="1" applyFont="1" applyNumberFormat="1"/>
    <xf borderId="4" fillId="0" fontId="4" numFmtId="16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4" fillId="0" fontId="6" numFmtId="164" xfId="0" applyBorder="1" applyFont="1" applyNumberFormat="1"/>
    <xf borderId="4" fillId="0" fontId="7" numFmtId="164" xfId="0" applyAlignment="1" applyBorder="1" applyFont="1" applyNumberFormat="1">
      <alignment readingOrder="0"/>
    </xf>
    <xf borderId="4" fillId="0" fontId="1" numFmtId="164" xfId="0" applyBorder="1" applyFont="1" applyNumberFormat="1"/>
    <xf borderId="4" fillId="0" fontId="8" numFmtId="164" xfId="0" applyBorder="1" applyFont="1" applyNumberFormat="1"/>
    <xf borderId="1" fillId="3" fontId="2" numFmtId="164" xfId="0" applyAlignment="1" applyBorder="1" applyFill="1" applyFont="1" applyNumberFormat="1">
      <alignment horizontal="center"/>
    </xf>
    <xf borderId="4" fillId="0" fontId="9" numFmtId="164" xfId="0" applyAlignment="1" applyBorder="1" applyFont="1" applyNumberFormat="1">
      <alignment readingOrder="0"/>
    </xf>
    <xf borderId="0" fillId="0" fontId="9" numFmtId="164" xfId="0" applyAlignment="1" applyFont="1" applyNumberFormat="1">
      <alignment readingOrder="0"/>
    </xf>
    <xf borderId="5" fillId="0" fontId="2" numFmtId="164" xfId="0" applyBorder="1" applyFont="1" applyNumberFormat="1"/>
    <xf borderId="0" fillId="0" fontId="5" numFmtId="164" xfId="0" applyAlignment="1" applyFont="1" applyNumberFormat="1">
      <alignment readingOrder="0"/>
    </xf>
    <xf borderId="0" fillId="0" fontId="8" numFmtId="164" xfId="0" applyFont="1" applyNumberFormat="1"/>
    <xf borderId="0" fillId="4" fontId="9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75"/>
    <col customWidth="1" min="3" max="3" width="20.13"/>
    <col customWidth="1" min="4" max="4" width="23.25"/>
    <col customWidth="1" min="5" max="5" width="20.0"/>
    <col customWidth="1" min="6" max="6" width="23.13"/>
    <col customWidth="1" min="7" max="10" width="8.63"/>
    <col customWidth="1" min="11" max="11" width="22.13"/>
    <col customWidth="1" min="12" max="14" width="8.63"/>
    <col customWidth="1" min="15" max="15" width="17.75"/>
    <col customWidth="1" min="16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</v>
      </c>
      <c r="C4" s="9">
        <v>1550.0</v>
      </c>
      <c r="D4" s="8">
        <f t="shared" ref="D4:D10" si="2">C4*12</f>
        <v>18600</v>
      </c>
      <c r="E4" s="10">
        <f t="shared" ref="E4:F4" si="1">C4*0.72</f>
        <v>1116</v>
      </c>
      <c r="F4" s="10">
        <f t="shared" si="1"/>
        <v>13392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7</v>
      </c>
      <c r="C5" s="9">
        <v>250.0</v>
      </c>
      <c r="D5" s="8">
        <f t="shared" si="2"/>
        <v>3000</v>
      </c>
      <c r="E5" s="10">
        <f t="shared" ref="E5:F5" si="3">C5*0.72</f>
        <v>180</v>
      </c>
      <c r="F5" s="10">
        <f t="shared" si="3"/>
        <v>2160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8</v>
      </c>
      <c r="C6" s="9">
        <v>60.0</v>
      </c>
      <c r="D6" s="8">
        <f t="shared" si="2"/>
        <v>720</v>
      </c>
      <c r="E6" s="10">
        <f t="shared" ref="E6:F6" si="4">C6*0.72</f>
        <v>43.2</v>
      </c>
      <c r="F6" s="10">
        <f t="shared" si="4"/>
        <v>518.4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9</v>
      </c>
      <c r="C7" s="9">
        <v>50.0</v>
      </c>
      <c r="D7" s="8">
        <f t="shared" si="2"/>
        <v>600</v>
      </c>
      <c r="E7" s="10">
        <f t="shared" ref="E7:F7" si="5">C7*0.72</f>
        <v>36</v>
      </c>
      <c r="F7" s="10">
        <f t="shared" si="5"/>
        <v>432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10</v>
      </c>
      <c r="C8" s="8">
        <f>113/2</f>
        <v>56.5</v>
      </c>
      <c r="D8" s="8">
        <f t="shared" si="2"/>
        <v>678</v>
      </c>
      <c r="E8" s="10">
        <f t="shared" ref="E8:F8" si="6">C8*0.72</f>
        <v>40.68</v>
      </c>
      <c r="F8" s="10">
        <f t="shared" si="6"/>
        <v>488.16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 t="s">
        <v>11</v>
      </c>
      <c r="C9" s="9">
        <v>35.58</v>
      </c>
      <c r="D9" s="8">
        <f t="shared" si="2"/>
        <v>426.96</v>
      </c>
      <c r="E9" s="10">
        <f t="shared" ref="E9:F9" si="7">C9*0.72</f>
        <v>25.6176</v>
      </c>
      <c r="F9" s="10">
        <f t="shared" si="7"/>
        <v>307.4112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12</v>
      </c>
      <c r="C10" s="9">
        <v>200.0</v>
      </c>
      <c r="D10" s="8">
        <f t="shared" si="2"/>
        <v>2400</v>
      </c>
      <c r="E10" s="10">
        <f t="shared" ref="E10:F10" si="8">C10*0.72</f>
        <v>144</v>
      </c>
      <c r="F10" s="10">
        <f t="shared" si="8"/>
        <v>1728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5" t="s">
        <v>13</v>
      </c>
      <c r="D11" s="5">
        <f>SUM(D4:D10)</f>
        <v>26424.96</v>
      </c>
      <c r="E11" s="11"/>
      <c r="F11" s="11">
        <f>D11*0.72</f>
        <v>19025.9712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14</v>
      </c>
      <c r="C13" s="3"/>
      <c r="D13" s="3"/>
      <c r="E13" s="3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1</v>
      </c>
      <c r="C14" s="6" t="s">
        <v>2</v>
      </c>
      <c r="D14" s="6" t="s">
        <v>3</v>
      </c>
      <c r="E14" s="7" t="s">
        <v>4</v>
      </c>
      <c r="F14" s="7" t="s">
        <v>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15</v>
      </c>
      <c r="C15" s="8">
        <f>100*12</f>
        <v>1200</v>
      </c>
      <c r="D15" s="8">
        <f t="shared" ref="D15:D17" si="10">C15*12</f>
        <v>14400</v>
      </c>
      <c r="E15" s="13">
        <f t="shared" ref="E15:F15" si="9">C15*0.72</f>
        <v>864</v>
      </c>
      <c r="F15" s="10">
        <f t="shared" si="9"/>
        <v>10368</v>
      </c>
      <c r="G15" s="1"/>
      <c r="H15" s="1"/>
      <c r="I15" s="1"/>
      <c r="J15" s="1"/>
      <c r="K15" s="1"/>
      <c r="L15" s="1"/>
      <c r="M15" s="1"/>
      <c r="N15" s="1"/>
      <c r="O15" s="14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16</v>
      </c>
      <c r="C16" s="8">
        <f>85*8</f>
        <v>680</v>
      </c>
      <c r="D16" s="8">
        <f t="shared" si="10"/>
        <v>8160</v>
      </c>
      <c r="E16" s="13">
        <f t="shared" ref="E16:F16" si="11">C16*0.72</f>
        <v>489.6</v>
      </c>
      <c r="F16" s="10">
        <f t="shared" si="11"/>
        <v>5875.2</v>
      </c>
      <c r="G16" s="1"/>
      <c r="H16" s="1"/>
      <c r="I16" s="1"/>
      <c r="J16" s="1"/>
      <c r="K16" s="1"/>
      <c r="L16" s="1"/>
      <c r="M16" s="1"/>
      <c r="N16" s="1"/>
      <c r="O16" s="1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17</v>
      </c>
      <c r="C17" s="9">
        <v>20.0</v>
      </c>
      <c r="D17" s="8">
        <f t="shared" si="10"/>
        <v>240</v>
      </c>
      <c r="E17" s="13">
        <f t="shared" ref="E17:F17" si="12">C17*0.72</f>
        <v>14.4</v>
      </c>
      <c r="F17" s="10">
        <f t="shared" si="12"/>
        <v>172.8</v>
      </c>
      <c r="G17" s="1"/>
      <c r="H17" s="1"/>
      <c r="I17" s="1"/>
      <c r="J17" s="1"/>
      <c r="K17" s="1"/>
      <c r="L17" s="1"/>
      <c r="M17" s="1"/>
      <c r="N17" s="1"/>
      <c r="O17" s="14"/>
      <c r="P17" s="1"/>
      <c r="Q17" s="14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9" t="s">
        <v>18</v>
      </c>
      <c r="C18" s="9">
        <v>700.0</v>
      </c>
      <c r="D18" s="8">
        <f>12*C18</f>
        <v>8400</v>
      </c>
      <c r="E18" s="13">
        <f t="shared" ref="E18:F18" si="13">C18*0.72</f>
        <v>504</v>
      </c>
      <c r="F18" s="10">
        <f t="shared" si="13"/>
        <v>6048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9" t="s">
        <v>19</v>
      </c>
      <c r="C19" s="9"/>
      <c r="D19" s="9">
        <v>4800.0</v>
      </c>
      <c r="E19" s="13"/>
      <c r="F19" s="13">
        <v>3475.0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8" t="s">
        <v>20</v>
      </c>
      <c r="C20" s="8"/>
      <c r="D20" s="8">
        <f>144*3</f>
        <v>432</v>
      </c>
      <c r="E20" s="13"/>
      <c r="F20" s="10">
        <f>D20*0.72</f>
        <v>311.04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21</v>
      </c>
      <c r="C21" s="8">
        <f>190*2</f>
        <v>380</v>
      </c>
      <c r="D21" s="8">
        <f>C21*12</f>
        <v>4560</v>
      </c>
      <c r="E21" s="13">
        <f t="shared" ref="E21:F21" si="14">C21*0.72</f>
        <v>273.6</v>
      </c>
      <c r="F21" s="10">
        <f t="shared" si="14"/>
        <v>3283.2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 t="s">
        <v>22</v>
      </c>
      <c r="C22" s="8"/>
      <c r="D22" s="8">
        <v>729.0</v>
      </c>
      <c r="E22" s="13"/>
      <c r="F22" s="10">
        <f t="shared" ref="F22:F23" si="15">D22*0.72</f>
        <v>524.88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5" t="s">
        <v>13</v>
      </c>
      <c r="D23" s="15">
        <f>SUM(D15:D22)</f>
        <v>41721</v>
      </c>
      <c r="E23" s="7"/>
      <c r="F23" s="11">
        <f t="shared" si="15"/>
        <v>30039.12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6" t="s">
        <v>23</v>
      </c>
      <c r="D25" s="17">
        <f>D23+D11</f>
        <v>68145.96</v>
      </c>
      <c r="E25" s="17"/>
      <c r="F25" s="17">
        <f>F23+F11</f>
        <v>49065.0912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8"/>
      <c r="L31" s="1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8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8"/>
      <c r="L33" s="1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8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8"/>
      <c r="L35" s="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8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8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4"/>
      <c r="C39" s="1"/>
      <c r="D39" s="1"/>
      <c r="E39" s="1"/>
      <c r="F39" s="1"/>
      <c r="G39" s="1"/>
      <c r="H39" s="1"/>
      <c r="I39" s="1"/>
      <c r="J39" s="1"/>
      <c r="K39" s="14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4"/>
      <c r="C40" s="1"/>
      <c r="D40" s="1"/>
      <c r="E40" s="1"/>
      <c r="F40" s="1"/>
      <c r="G40" s="1"/>
      <c r="H40" s="1"/>
      <c r="I40" s="1"/>
      <c r="J40" s="1"/>
      <c r="K40" s="14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4"/>
      <c r="C41" s="1"/>
      <c r="D41" s="1"/>
      <c r="E41" s="1"/>
      <c r="F41" s="1"/>
      <c r="G41" s="1"/>
      <c r="H41" s="1"/>
      <c r="I41" s="1"/>
      <c r="J41" s="1"/>
      <c r="K41" s="14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B2:F2"/>
    <mergeCell ref="B13:F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2024-03-27T06:11:20Z</dcterms:created>
  <dc:creator>Taylor Carrick</dc:creator>
</cp:coreProperties>
</file>