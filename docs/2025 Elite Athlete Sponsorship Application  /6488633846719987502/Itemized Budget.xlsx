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<sst xmlns="http://schemas.openxmlformats.org/spreadsheetml/2006/main" count="64" uniqueCount="50">
  <si>
    <t>Conor White Budget 2026</t>
  </si>
  <si>
    <t>Track Cycling Races x2</t>
  </si>
  <si>
    <t>Amount</t>
  </si>
  <si>
    <t>Description</t>
  </si>
  <si>
    <t>Airfare</t>
  </si>
  <si>
    <t>Round Trip London to Frankfurt (~$160) and Prague (~$200)</t>
  </si>
  <si>
    <t>Accomodation</t>
  </si>
  <si>
    <t>Approx $800 for Germany Event and approx $700 for Prague Event</t>
  </si>
  <si>
    <t>Transportation to/from airport in London</t>
  </si>
  <si>
    <t>Taxi to/from (about $60/each way)</t>
  </si>
  <si>
    <t>Rental Car</t>
  </si>
  <si>
    <t>Rental Car to get to races in Germany (~$250) and Prague (~$180) + Insurance</t>
  </si>
  <si>
    <t>Luggage Fees</t>
  </si>
  <si>
    <t>Bike fees</t>
  </si>
  <si>
    <t>Per diem</t>
  </si>
  <si>
    <t>$30/day about 14 days total</t>
  </si>
  <si>
    <t>Entry Fees</t>
  </si>
  <si>
    <t>About $50/ event</t>
  </si>
  <si>
    <t>Camp Preparation Total</t>
  </si>
  <si>
    <t>Commonwealth Games Training Camp</t>
  </si>
  <si>
    <t>Bermuda to London (One way as I will go from the camp to the games)</t>
  </si>
  <si>
    <t>Airbnbs prices are outragious, so will stay with friend and cover part of their rent for 2 weeks</t>
  </si>
  <si>
    <t>Transportation to/from airport</t>
  </si>
  <si>
    <t>Taxi from airport ($100 each way)</t>
  </si>
  <si>
    <t>$30/day for 2 weeks</t>
  </si>
  <si>
    <t>Daily Track Fee</t>
  </si>
  <si>
    <t>$30/Session x 10 sessions</t>
  </si>
  <si>
    <t>Equipment (Track Bike)</t>
  </si>
  <si>
    <t>Descripton</t>
  </si>
  <si>
    <t>Race Wheel</t>
  </si>
  <si>
    <t>Track Race Wheel Corima 4 Spoke</t>
  </si>
  <si>
    <t>Variety of Gear Ratios</t>
  </si>
  <si>
    <t>A range of rear sprokets and front chainrings to cover a variety of training and racing senarios</t>
  </si>
  <si>
    <t>Power Meter</t>
  </si>
  <si>
    <t>Power Meter to measure output</t>
  </si>
  <si>
    <t>Race Tires</t>
  </si>
  <si>
    <t>2 Sets of race tires for the season @$115/tire x4 tires</t>
  </si>
  <si>
    <t>Equipment Total</t>
  </si>
  <si>
    <t>Equipment (Road Bike)</t>
  </si>
  <si>
    <t>Road Bike Frame</t>
  </si>
  <si>
    <t>Handsling road bike frameset ($3200 retail, will get for $2650)</t>
  </si>
  <si>
    <t>Race tires</t>
  </si>
  <si>
    <t>2 sets of race tires for the season</t>
  </si>
  <si>
    <t>Misc small equipment</t>
  </si>
  <si>
    <t>Replacement parts such as Brake pads and a replacement chains x2</t>
  </si>
  <si>
    <t>Nutrition</t>
  </si>
  <si>
    <t>Training/Race Nutrition</t>
  </si>
  <si>
    <t>Variety of Gels, bars, and drink mix for training and racing throughout the season</t>
  </si>
  <si>
    <t>Nutrition Total</t>
  </si>
  <si>
    <t>Budget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</si>
</sst>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1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theme="1"/>
      <name val="Arial"/>
    </font>
    <font>
      <b/>
      <u/>
      <color rgb="FF3D85C6"/>
      <name val="Arial"/>
    </font>
    <font>
      <color rgb="FF3D85C6"/>
      <name val="Arial"/>
    </font>
    <font>
      <b/>
      <u/>
      <color theme="1"/>
      <name val="Arial"/>
    </font>
    <font>
      <color rgb="FF4A86E8"/>
      <name val="Arial"/>
    </font>
    <font>
      <b/>
      <i/>
      <u/>
      <color theme="1"/>
      <name val="Arial"/>
    </font>
    <font>
      <b/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1" fillId="2" fontId="1" numFmtId="164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vertical="bottom"/>
    </xf>
    <xf borderId="2" fillId="3" fontId="2" numFmtId="0" xfId="0" applyAlignment="1" applyBorder="1" applyFill="1" applyFont="1">
      <alignment vertical="bottom"/>
    </xf>
    <xf borderId="2" fillId="3" fontId="2" numFmtId="165" xfId="0" applyAlignment="1" applyBorder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1" fillId="2" fontId="1" numFmtId="165" xfId="0" applyAlignment="1" applyBorder="1" applyFont="1" applyNumberFormat="1">
      <alignment horizontal="right" vertical="bottom"/>
    </xf>
    <xf borderId="2" fillId="0" fontId="2" numFmtId="165" xfId="0" applyAlignment="1" applyBorder="1" applyFont="1" applyNumberFormat="1">
      <alignment vertical="bottom"/>
    </xf>
    <xf borderId="3" fillId="2" fontId="1" numFmtId="165" xfId="0" applyAlignment="1" applyBorder="1" applyFont="1" applyNumberFormat="1">
      <alignment horizontal="right" vertical="bottom"/>
    </xf>
    <xf borderId="4" fillId="3" fontId="2" numFmtId="165" xfId="0" applyAlignment="1" applyBorder="1" applyFont="1" applyNumberFormat="1">
      <alignment vertical="bottom"/>
    </xf>
    <xf borderId="0" fillId="0" fontId="8" numFmtId="0" xfId="0" applyAlignment="1" applyFont="1">
      <alignment vertical="bottom"/>
    </xf>
    <xf borderId="1" fillId="2" fontId="9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4.5"/>
    <col customWidth="1" min="3" max="3" width="6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4" t="s">
        <v>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</v>
      </c>
      <c r="B4" s="5">
        <v>500.0</v>
      </c>
      <c r="C4" s="6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</v>
      </c>
      <c r="B5" s="5">
        <v>1500.0</v>
      </c>
      <c r="C5" s="6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8</v>
      </c>
      <c r="B6" s="5">
        <v>240.0</v>
      </c>
      <c r="C6" s="6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10</v>
      </c>
      <c r="B7" s="5">
        <v>500.0</v>
      </c>
      <c r="C7" s="6" t="s">
        <v>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12</v>
      </c>
      <c r="B8" s="5">
        <v>150.0</v>
      </c>
      <c r="C8" s="6" t="s">
        <v>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14</v>
      </c>
      <c r="B9" s="5">
        <f>30*14</f>
        <v>420</v>
      </c>
      <c r="C9" s="6" t="s">
        <v>15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16</v>
      </c>
      <c r="B10" s="5">
        <v>100.0</v>
      </c>
      <c r="C10" s="6" t="s">
        <v>17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18</v>
      </c>
      <c r="B12" s="9">
        <f>sum(B4:B10)</f>
        <v>3410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2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19</v>
      </c>
      <c r="B15" s="3" t="s">
        <v>2</v>
      </c>
      <c r="C15" s="4" t="s">
        <v>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4</v>
      </c>
      <c r="B16" s="5">
        <v>1050.0</v>
      </c>
      <c r="C16" s="6" t="s">
        <v>20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</v>
      </c>
      <c r="B17" s="5">
        <v>500.0</v>
      </c>
      <c r="C17" s="6" t="s">
        <v>21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22</v>
      </c>
      <c r="B18" s="5">
        <v>100.0</v>
      </c>
      <c r="C18" s="6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12</v>
      </c>
      <c r="B19" s="5">
        <v>150.0</v>
      </c>
      <c r="C19" s="6" t="s">
        <v>13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14</v>
      </c>
      <c r="B20" s="5">
        <f>30*14</f>
        <v>420</v>
      </c>
      <c r="C20" s="6" t="s">
        <v>24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25</v>
      </c>
      <c r="B21" s="5">
        <v>300.0</v>
      </c>
      <c r="C21" s="6" t="s">
        <v>26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7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 t="s">
        <v>18</v>
      </c>
      <c r="B23" s="9">
        <f>sum(B16:B21)</f>
        <v>2520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/>
      <c r="B25" s="12"/>
      <c r="C25" s="1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27</v>
      </c>
      <c r="B26" s="13" t="s">
        <v>2</v>
      </c>
      <c r="C26" s="4" t="s">
        <v>28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29</v>
      </c>
      <c r="B27" s="14">
        <v>1350.0</v>
      </c>
      <c r="C27" s="6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31</v>
      </c>
      <c r="B28" s="14">
        <v>1050.0</v>
      </c>
      <c r="C28" s="6" t="s">
        <v>32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33</v>
      </c>
      <c r="B29" s="14">
        <v>500.0</v>
      </c>
      <c r="C29" s="6" t="s">
        <v>34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35</v>
      </c>
      <c r="B30" s="14">
        <v>460.0</v>
      </c>
      <c r="C30" s="15" t="s">
        <v>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 t="s">
        <v>37</v>
      </c>
      <c r="B32" s="17">
        <f>sum(B27:B31)</f>
        <v>3360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/>
      <c r="B34" s="12"/>
      <c r="C34" s="1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38</v>
      </c>
      <c r="B35" s="13" t="s">
        <v>2</v>
      </c>
      <c r="C35" s="4" t="s">
        <v>28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39</v>
      </c>
      <c r="B36" s="14">
        <v>2650.0</v>
      </c>
      <c r="C36" s="6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41</v>
      </c>
      <c r="B37" s="14">
        <v>250.0</v>
      </c>
      <c r="C37" s="6" t="s">
        <v>42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43</v>
      </c>
      <c r="B38" s="14">
        <v>250.0</v>
      </c>
      <c r="C38" s="6" t="s">
        <v>44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 t="s">
        <v>37</v>
      </c>
      <c r="B40" s="19">
        <f>sum(B35:B38)</f>
        <v>3150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10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/>
      <c r="B42" s="20"/>
      <c r="C42" s="1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45</v>
      </c>
      <c r="B43" s="3" t="s">
        <v>2</v>
      </c>
      <c r="C43" s="4" t="s">
        <v>28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46</v>
      </c>
      <c r="B44" s="5">
        <v>750.0</v>
      </c>
      <c r="C44" s="6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 t="s">
        <v>48</v>
      </c>
      <c r="B47" s="9">
        <f>sum(B44)</f>
        <v>750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10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/>
      <c r="B49" s="12"/>
      <c r="C49" s="1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1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1" t="s">
        <v>49</v>
      </c>
      <c r="B51" s="22">
        <f>sum(B12,B23,B32,B40,B47)</f>
        <v>13190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</sheetData>
  <drawing r:id="rId1"/>
</worksheet>
</file>