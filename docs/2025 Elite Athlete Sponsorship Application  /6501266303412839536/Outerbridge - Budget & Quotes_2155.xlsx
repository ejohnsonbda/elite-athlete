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 Outerbridge\Downloads\"/>
    </mc:Choice>
  </mc:AlternateContent>
  <xr:revisionPtr revIDLastSave="0" documentId="13_ncr:1_{E84EB292-EB14-4741-8925-94FE19F29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eDWjVpuRGSu3o1/Rn7rsrQGmEoEtTKn5b2R1CUprVc="/>
    </ext>
  </extLst>
</workbook>
</file>

<file path=xl/calcChain.xml><?xml version="1.0" encoding="utf-8"?>
<calcChain xmlns="http://schemas.openxmlformats.org/spreadsheetml/2006/main">
  <c r="H18" i="1" l="1"/>
  <c r="B21" i="1" s="1"/>
  <c r="H17" i="1"/>
  <c r="H16" i="1"/>
  <c r="H15" i="1"/>
  <c r="E12" i="1"/>
  <c r="E6" i="1"/>
</calcChain>
</file>

<file path=xl/sharedStrings.xml><?xml version="1.0" encoding="utf-8"?>
<sst xmlns="http://schemas.openxmlformats.org/spreadsheetml/2006/main" count="42" uniqueCount="32">
  <si>
    <t>Elite Athlete Needs and Expenses to Support Training, Injury Prevention and Competition</t>
  </si>
  <si>
    <t>Equipment</t>
  </si>
  <si>
    <t>Type</t>
  </si>
  <si>
    <t>Per Year</t>
  </si>
  <si>
    <t>Cost per eash</t>
  </si>
  <si>
    <t>Cost per year</t>
  </si>
  <si>
    <t>Shoes</t>
  </si>
  <si>
    <t>Training shoes/Spikes</t>
  </si>
  <si>
    <t>8 pairs</t>
  </si>
  <si>
    <t>Bicarbonate Suplements</t>
  </si>
  <si>
    <t>Supplements</t>
  </si>
  <si>
    <t>Total</t>
  </si>
  <si>
    <t>Training Expenses</t>
  </si>
  <si>
    <t>Cost per visit</t>
  </si>
  <si>
    <t>Gym Membership</t>
  </si>
  <si>
    <t>Workout</t>
  </si>
  <si>
    <t>Physio Appointments</t>
  </si>
  <si>
    <t>Muscle injury prevention</t>
  </si>
  <si>
    <t>24  (2 appt per month)</t>
  </si>
  <si>
    <t>Camp Expesnes</t>
  </si>
  <si>
    <t>Travel from</t>
  </si>
  <si>
    <t xml:space="preserve">Travel to </t>
  </si>
  <si>
    <t>Travel dates</t>
  </si>
  <si>
    <t xml:space="preserve">Airfare </t>
  </si>
  <si>
    <t>Accommodation</t>
  </si>
  <si>
    <t>Meals</t>
  </si>
  <si>
    <t>FALL 25 CAMP</t>
  </si>
  <si>
    <t>BDA</t>
  </si>
  <si>
    <t>Boston, MA</t>
  </si>
  <si>
    <t>WINTER 25-26 CAMP</t>
  </si>
  <si>
    <t>SPRING 26 CAMP</t>
  </si>
  <si>
    <t>TOTAL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</si>
</sst>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mmm\ yyyy"/>
  </numFmts>
  <fonts count="10" x14ac:knownFonts="1">
    <font>
      <sz val="10"/>
      <color rgb="FF000000"/>
      <name val="Arial"/>
      <scheme val="minor"/>
    </font>
    <font>
      <b/>
      <u/>
      <sz val="20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6"/>
      <color theme="1"/>
      <name val="Calibri"/>
    </font>
    <font>
      <b/>
      <i/>
      <u/>
      <sz val="16"/>
      <color theme="1"/>
      <name val="Calibri"/>
    </font>
    <font>
      <b/>
      <i/>
      <u/>
      <sz val="16"/>
      <color theme="1"/>
      <name val="Calibri"/>
    </font>
    <font>
      <b/>
      <i/>
      <u/>
      <sz val="16"/>
      <color theme="1"/>
      <name val="Calibri"/>
    </font>
    <font>
      <b/>
      <i/>
      <u/>
      <sz val="22"/>
      <color theme="1"/>
      <name val="Calibri"/>
    </font>
    <font>
      <b/>
      <i/>
      <u/>
      <sz val="22"/>
      <color theme="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/>
    <xf numFmtId="0" fontId="4" fillId="0" borderId="3" xfId="0" applyFont="1" applyBorder="1"/>
    <xf numFmtId="6" fontId="4" fillId="0" borderId="3" xfId="0" applyNumberFormat="1" applyFont="1" applyBorder="1"/>
    <xf numFmtId="6" fontId="4" fillId="0" borderId="5" xfId="0" applyNumberFormat="1" applyFont="1" applyBorder="1"/>
    <xf numFmtId="0" fontId="5" fillId="0" borderId="6" xfId="0" applyFont="1" applyBorder="1"/>
    <xf numFmtId="0" fontId="2" fillId="0" borderId="7" xfId="0" applyFont="1" applyBorder="1"/>
    <xf numFmtId="6" fontId="6" fillId="0" borderId="8" xfId="0" applyNumberFormat="1" applyFont="1" applyBorder="1" applyAlignment="1">
      <alignment wrapText="1"/>
    </xf>
    <xf numFmtId="6" fontId="4" fillId="0" borderId="4" xfId="0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7" fontId="4" fillId="0" borderId="3" xfId="0" applyNumberFormat="1" applyFont="1" applyBorder="1"/>
    <xf numFmtId="0" fontId="4" fillId="0" borderId="5" xfId="0" applyFont="1" applyBorder="1"/>
    <xf numFmtId="8" fontId="4" fillId="0" borderId="3" xfId="0" applyNumberFormat="1" applyFont="1" applyBorder="1"/>
    <xf numFmtId="8" fontId="4" fillId="0" borderId="5" xfId="0" applyNumberFormat="1" applyFont="1" applyBorder="1"/>
    <xf numFmtId="0" fontId="4" fillId="0" borderId="2" xfId="0" applyFont="1" applyBorder="1" applyAlignment="1">
      <alignment wrapText="1"/>
    </xf>
    <xf numFmtId="164" fontId="4" fillId="0" borderId="3" xfId="0" applyNumberFormat="1" applyFont="1" applyBorder="1" applyAlignment="1">
      <alignment wrapText="1"/>
    </xf>
    <xf numFmtId="8" fontId="4" fillId="0" borderId="3" xfId="0" applyNumberFormat="1" applyFont="1" applyBorder="1" applyAlignment="1">
      <alignment wrapText="1"/>
    </xf>
    <xf numFmtId="6" fontId="4" fillId="0" borderId="3" xfId="0" applyNumberFormat="1" applyFont="1" applyBorder="1" applyAlignment="1">
      <alignment wrapText="1"/>
    </xf>
    <xf numFmtId="8" fontId="4" fillId="0" borderId="5" xfId="0" applyNumberFormat="1" applyFont="1" applyBorder="1" applyAlignment="1">
      <alignment wrapText="1"/>
    </xf>
    <xf numFmtId="8" fontId="2" fillId="0" borderId="0" xfId="0" applyNumberFormat="1" applyFont="1"/>
    <xf numFmtId="44" fontId="2" fillId="0" borderId="7" xfId="0" applyNumberFormat="1" applyFont="1" applyBorder="1"/>
    <xf numFmtId="8" fontId="7" fillId="0" borderId="8" xfId="0" applyNumberFormat="1" applyFont="1" applyBorder="1" applyAlignment="1">
      <alignment wrapText="1"/>
    </xf>
    <xf numFmtId="0" fontId="8" fillId="0" borderId="0" xfId="0" applyFont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tabSelected="1" workbookViewId="0">
      <selection activeCell="F20" sqref="F20"/>
    </sheetView>
  </sheetViews>
  <sheetFormatPr defaultColWidth="12.5703125" defaultRowHeight="15" customHeight="1" x14ac:dyDescent="0.2"/>
  <cols>
    <col min="1" max="1" width="26.5703125" customWidth="1"/>
    <col min="2" max="2" width="23.28515625" customWidth="1"/>
    <col min="3" max="3" width="14.5703125" customWidth="1"/>
    <col min="4" max="6" width="12.5703125" customWidth="1"/>
  </cols>
  <sheetData>
    <row r="1" spans="1:19" ht="15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75" customHeight="1" x14ac:dyDescent="0.25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75" customHeight="1" x14ac:dyDescent="0.35">
      <c r="A3" s="4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customHeight="1" x14ac:dyDescent="0.35">
      <c r="A4" s="7" t="s">
        <v>6</v>
      </c>
      <c r="B4" s="8" t="s">
        <v>7</v>
      </c>
      <c r="C4" s="9" t="s">
        <v>8</v>
      </c>
      <c r="D4" s="9">
        <v>150</v>
      </c>
      <c r="E4" s="10">
        <v>1200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.75" customHeight="1" x14ac:dyDescent="0.35">
      <c r="A5" s="7" t="s">
        <v>9</v>
      </c>
      <c r="B5" s="8" t="s">
        <v>10</v>
      </c>
      <c r="C5" s="8">
        <v>10</v>
      </c>
      <c r="D5" s="9">
        <v>75</v>
      </c>
      <c r="E5" s="10">
        <v>750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.75" customHeight="1" x14ac:dyDescent="0.35">
      <c r="A6" s="11" t="s">
        <v>11</v>
      </c>
      <c r="B6" s="12"/>
      <c r="C6" s="12"/>
      <c r="D6" s="12"/>
      <c r="E6" s="13">
        <f>E4+E5</f>
        <v>1950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.75" customHeight="1" x14ac:dyDescent="0.25">
      <c r="A7" s="3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.75" customHeight="1" x14ac:dyDescent="0.35">
      <c r="A8" s="4" t="s">
        <v>12</v>
      </c>
      <c r="B8" s="5" t="s">
        <v>2</v>
      </c>
      <c r="C8" s="5" t="s">
        <v>3</v>
      </c>
      <c r="D8" s="5" t="s">
        <v>13</v>
      </c>
      <c r="E8" s="6" t="s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.75" customHeight="1" x14ac:dyDescent="0.35">
      <c r="A9" s="7"/>
      <c r="B9" s="8"/>
      <c r="C9" s="8"/>
      <c r="D9" s="9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.75" customHeight="1" x14ac:dyDescent="0.35">
      <c r="A10" s="7" t="s">
        <v>14</v>
      </c>
      <c r="B10" s="8" t="s">
        <v>15</v>
      </c>
      <c r="C10" s="8">
        <v>12</v>
      </c>
      <c r="D10" s="9">
        <v>70</v>
      </c>
      <c r="E10" s="14">
        <v>840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.75" customHeight="1" x14ac:dyDescent="0.35">
      <c r="A11" s="7" t="s">
        <v>16</v>
      </c>
      <c r="B11" s="8" t="s">
        <v>17</v>
      </c>
      <c r="C11" s="8" t="s">
        <v>18</v>
      </c>
      <c r="D11" s="9">
        <v>100</v>
      </c>
      <c r="E11" s="10">
        <v>2400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.75" customHeight="1" x14ac:dyDescent="0.35">
      <c r="A12" s="11" t="s">
        <v>11</v>
      </c>
      <c r="B12" s="12"/>
      <c r="C12" s="12"/>
      <c r="D12" s="12"/>
      <c r="E12" s="13">
        <f>E11+E10+E9</f>
        <v>3240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.75" customHeight="1" x14ac:dyDescent="0.25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.75" customHeight="1" x14ac:dyDescent="0.35">
      <c r="A14" s="15" t="s">
        <v>19</v>
      </c>
      <c r="B14" s="16" t="s">
        <v>20</v>
      </c>
      <c r="C14" s="16" t="s">
        <v>21</v>
      </c>
      <c r="D14" s="16" t="s">
        <v>22</v>
      </c>
      <c r="E14" s="16" t="s">
        <v>23</v>
      </c>
      <c r="F14" s="16" t="s">
        <v>24</v>
      </c>
      <c r="G14" s="16" t="s">
        <v>25</v>
      </c>
      <c r="H14" s="17" t="s">
        <v>11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customHeight="1" x14ac:dyDescent="0.35">
      <c r="A15" s="7" t="s">
        <v>26</v>
      </c>
      <c r="B15" s="8" t="s">
        <v>27</v>
      </c>
      <c r="C15" s="8" t="s">
        <v>28</v>
      </c>
      <c r="D15" s="18">
        <v>45901</v>
      </c>
      <c r="E15" s="8">
        <v>1000</v>
      </c>
      <c r="F15" s="8">
        <v>500</v>
      </c>
      <c r="G15" s="8">
        <v>100</v>
      </c>
      <c r="H15" s="19">
        <f t="shared" ref="H15:H17" si="0">SUM(E15:G15)</f>
        <v>1600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.75" customHeight="1" x14ac:dyDescent="0.35">
      <c r="A16" s="7" t="s">
        <v>29</v>
      </c>
      <c r="B16" s="8" t="s">
        <v>27</v>
      </c>
      <c r="C16" s="8" t="s">
        <v>28</v>
      </c>
      <c r="D16" s="18">
        <v>46023</v>
      </c>
      <c r="E16" s="20">
        <v>1000</v>
      </c>
      <c r="F16" s="9">
        <v>500</v>
      </c>
      <c r="G16" s="9">
        <v>100</v>
      </c>
      <c r="H16" s="21">
        <f t="shared" si="0"/>
        <v>1600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customHeight="1" x14ac:dyDescent="0.35">
      <c r="A17" s="22" t="s">
        <v>30</v>
      </c>
      <c r="B17" s="8" t="s">
        <v>27</v>
      </c>
      <c r="C17" s="8" t="s">
        <v>28</v>
      </c>
      <c r="D17" s="23">
        <v>46113</v>
      </c>
      <c r="E17" s="24">
        <v>1000</v>
      </c>
      <c r="F17" s="25">
        <v>500</v>
      </c>
      <c r="G17" s="24">
        <v>100</v>
      </c>
      <c r="H17" s="26">
        <f t="shared" si="0"/>
        <v>1600</v>
      </c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.75" customHeight="1" x14ac:dyDescent="0.35">
      <c r="A18" s="11" t="s">
        <v>11</v>
      </c>
      <c r="B18" s="12"/>
      <c r="C18" s="12"/>
      <c r="D18" s="12"/>
      <c r="E18" s="28"/>
      <c r="F18" s="28"/>
      <c r="G18" s="28"/>
      <c r="H18" s="29">
        <f>SUM(H15:H17)</f>
        <v>4800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45">
      <c r="A21" s="30" t="s">
        <v>31</v>
      </c>
      <c r="B21" s="31">
        <f>H18+E12+E6</f>
        <v>9990</v>
      </c>
      <c r="C21" s="3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/>
    <row r="23" spans="1:19" ht="15.75" customHeight="1" x14ac:dyDescent="0.2"/>
    <row r="24" spans="1:19" ht="15.75" customHeight="1" x14ac:dyDescent="0.2"/>
    <row r="25" spans="1:19" ht="15.75" customHeight="1" x14ac:dyDescent="0.2"/>
    <row r="26" spans="1:19" ht="15.75" customHeight="1" x14ac:dyDescent="0.2"/>
    <row r="27" spans="1:19" ht="15.75" customHeight="1" x14ac:dyDescent="0.2"/>
    <row r="28" spans="1:19" ht="15.75" customHeight="1" x14ac:dyDescent="0.2"/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Arorash</cp:lastModifiedBy>
  <dcterms:modified xsi:type="dcterms:W3CDTF">2026-03-17T23:42:04Z</dcterms:modified>
</cp:coreProperties>
</file>